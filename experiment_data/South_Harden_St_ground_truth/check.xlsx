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hmn5304_psu_edu/Documents/Research_doc/street_image_mapping/South_Harden_St_ground_truth/"/>
    </mc:Choice>
  </mc:AlternateContent>
  <xr:revisionPtr revIDLastSave="174" documentId="8_{D91C7427-E071-4402-954B-C6FA24E87B20}" xr6:coauthVersionLast="47" xr6:coauthVersionMax="47" xr10:uidLastSave="{A030E786-9D51-4D1D-9328-F7485EE129D4}"/>
  <bookViews>
    <workbookView xWindow="8540" yWindow="1980" windowWidth="24840" windowHeight="15750" activeTab="1" xr2:uid="{E89ABE08-BD29-429E-A909-B089EEEFAF0B}"/>
  </bookViews>
  <sheets>
    <sheet name="Sheet1" sheetId="1" r:id="rId1"/>
    <sheet name="Sheet2" sheetId="2" r:id="rId2"/>
  </sheets>
  <definedNames>
    <definedName name="_xlnm._FilterDatabase" localSheetId="1" hidden="1">Sheet2!$A$1:$E$1</definedName>
    <definedName name="_xlchart.v1.0" hidden="1">Sheet1!$H$2:$H$26</definedName>
    <definedName name="_xlchart.v1.1" hidden="1">Sheet2!$E$2:$E$26</definedName>
    <definedName name="_xlchart.v1.2" hidden="1">Sheet2!$E$2:$E$26</definedName>
    <definedName name="_xlchart.v1.3" hidden="1">Sheet2!$E$2:$E$26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2" l="1"/>
  <c r="Q20" i="2"/>
  <c r="E10" i="2"/>
  <c r="E8" i="2"/>
  <c r="E26" i="2"/>
  <c r="E25" i="2"/>
  <c r="E13" i="2"/>
  <c r="E12" i="2"/>
  <c r="E21" i="2"/>
  <c r="C3" i="2"/>
  <c r="D3" i="2" s="1"/>
  <c r="E3" i="2" s="1"/>
  <c r="C5" i="2"/>
  <c r="D5" i="2" s="1"/>
  <c r="E5" i="2" s="1"/>
  <c r="C2" i="2"/>
  <c r="D2" i="2" s="1"/>
  <c r="E2" i="2" s="1"/>
  <c r="C18" i="2"/>
  <c r="D18" i="2" s="1"/>
  <c r="E18" i="2" s="1"/>
  <c r="C17" i="2"/>
  <c r="D17" i="2" s="1"/>
  <c r="E17" i="2" s="1"/>
  <c r="C12" i="2"/>
  <c r="D12" i="2" s="1"/>
  <c r="C19" i="2"/>
  <c r="D19" i="2" s="1"/>
  <c r="E19" i="2" s="1"/>
  <c r="C14" i="2"/>
  <c r="D14" i="2" s="1"/>
  <c r="E14" i="2" s="1"/>
  <c r="C11" i="2"/>
  <c r="D11" i="2" s="1"/>
  <c r="E11" i="2" s="1"/>
  <c r="C13" i="2"/>
  <c r="D13" i="2" s="1"/>
  <c r="C15" i="2"/>
  <c r="D15" i="2" s="1"/>
  <c r="E15" i="2" s="1"/>
  <c r="C25" i="2"/>
  <c r="D25" i="2" s="1"/>
  <c r="C4" i="2"/>
  <c r="D4" i="2" s="1"/>
  <c r="E4" i="2" s="1"/>
  <c r="C23" i="2"/>
  <c r="D23" i="2" s="1"/>
  <c r="E23" i="2" s="1"/>
  <c r="C22" i="2"/>
  <c r="D22" i="2" s="1"/>
  <c r="E22" i="2" s="1"/>
  <c r="C20" i="2"/>
  <c r="D20" i="2" s="1"/>
  <c r="E20" i="2" s="1"/>
  <c r="C16" i="2"/>
  <c r="D16" i="2" s="1"/>
  <c r="E16" i="2" s="1"/>
  <c r="C26" i="2"/>
  <c r="D26" i="2" s="1"/>
  <c r="C9" i="2"/>
  <c r="D9" i="2" s="1"/>
  <c r="E9" i="2" s="1"/>
  <c r="D6" i="2"/>
  <c r="E6" i="2" s="1"/>
  <c r="C6" i="2"/>
  <c r="C7" i="2"/>
  <c r="D7" i="2" s="1"/>
  <c r="E7" i="2" s="1"/>
  <c r="C8" i="2"/>
  <c r="D8" i="2" s="1"/>
  <c r="C10" i="2"/>
  <c r="D10" i="2" s="1"/>
  <c r="C24" i="2"/>
  <c r="D24" i="2" s="1"/>
  <c r="E24" i="2" s="1"/>
  <c r="C21" i="2"/>
  <c r="D21" i="2" s="1"/>
  <c r="I5" i="1"/>
  <c r="I6" i="1"/>
  <c r="I7" i="1"/>
  <c r="I8" i="1"/>
  <c r="I13" i="1"/>
  <c r="I21" i="1"/>
  <c r="I22" i="1"/>
  <c r="I24" i="1"/>
  <c r="H5" i="1"/>
  <c r="H6" i="1"/>
  <c r="H7" i="1"/>
  <c r="H8" i="1"/>
  <c r="H9" i="1"/>
  <c r="H11" i="1"/>
  <c r="H20" i="1"/>
  <c r="H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E22" i="1"/>
  <c r="F22" i="1" s="1"/>
  <c r="E20" i="1"/>
  <c r="F20" i="1" s="1"/>
  <c r="E21" i="1"/>
  <c r="F21" i="1" s="1"/>
  <c r="H21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 s="1"/>
  <c r="H26" i="1" s="1"/>
  <c r="E17" i="1"/>
  <c r="F17" i="1" s="1"/>
  <c r="H17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M5" i="1"/>
  <c r="N5" i="1" s="1"/>
  <c r="E18" i="1"/>
  <c r="F18" i="1" s="1"/>
  <c r="H18" i="1" s="1"/>
  <c r="E19" i="1"/>
  <c r="F19" i="1" s="1"/>
  <c r="H19" i="1" s="1"/>
  <c r="E12" i="1"/>
  <c r="F12" i="1" s="1"/>
  <c r="H12" i="1" s="1"/>
  <c r="E3" i="1"/>
  <c r="F3" i="1" s="1"/>
  <c r="H3" i="1" s="1"/>
  <c r="E4" i="1"/>
  <c r="F4" i="1" s="1"/>
  <c r="H4" i="1" s="1"/>
  <c r="M4" i="1"/>
  <c r="N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H10" i="1" s="1"/>
  <c r="E11" i="1"/>
  <c r="F11" i="1" s="1"/>
  <c r="E2" i="1"/>
  <c r="F2" i="1" s="1"/>
  <c r="H2" i="1" s="1"/>
  <c r="I18" i="1" l="1"/>
  <c r="I17" i="1"/>
  <c r="I16" i="1"/>
  <c r="I4" i="1"/>
  <c r="I2" i="1"/>
  <c r="I15" i="1"/>
  <c r="I3" i="1"/>
  <c r="I26" i="1"/>
  <c r="I14" i="1"/>
  <c r="I25" i="1"/>
  <c r="I12" i="1"/>
  <c r="I23" i="1"/>
  <c r="I11" i="1"/>
  <c r="I10" i="1"/>
  <c r="I9" i="1"/>
  <c r="I20" i="1"/>
  <c r="I19" i="1"/>
</calcChain>
</file>

<file path=xl/sharedStrings.xml><?xml version="1.0" encoding="utf-8"?>
<sst xmlns="http://schemas.openxmlformats.org/spreadsheetml/2006/main" count="29" uniqueCount="23">
  <si>
    <t>ground truth</t>
  </si>
  <si>
    <t>estimated</t>
  </si>
  <si>
    <t>error</t>
  </si>
  <si>
    <t>error rate</t>
  </si>
  <si>
    <t>G:\My Drive\Research\street_mapping\South_Harden_St\trunks\MVAA_3LMTyVaqrHKHY5J4Q_4_bc2D4LSsWbzLhzV8RuP6lg_52_detailed_measurement.png</t>
  </si>
  <si>
    <t>G:\My Drive\Research\street_mapping\South_Harden_St\trunks\MVAA_3LMTyVaqrHKHY5J4Q_249_bc2D4LSsWbzLhzV8RuP6lg_176_detailed_measurement.png</t>
  </si>
  <si>
    <t>G:\My Drive\Research\street_mapping\South_Harden_St\trunks\S4SrA2RxHpr8PKS23WPyJw_-2_bWaGgy3Jb4Bzizc_5mTnSw_47_detailed_measurement.png</t>
  </si>
  <si>
    <t>G:\My Drive\Research\street_mapping\South_Harden_St\trunks\VMg2FqKp5Z8UzKEuYG1xEg_12_ifPVhVtPPrXLH2yFD5hGrg_-15_detailed_measurement.png</t>
  </si>
  <si>
    <t>G:\My Drive\Research\street_mapping\South_Harden_St\trunks\UfhK1qsq4W0ePWL4Agrspg_288_pdZMC2fAMq1MOJs1xx4dMg_346_detailed_measurement.png</t>
  </si>
  <si>
    <t>G:\My Drive\Research\street_mapping\South_Harden_St\trunks\daUkNiRU2wptAl6gyxQJVA_6_Tog4YT1goey10i9IJUmlKA_66_detailed_measurement.png</t>
  </si>
  <si>
    <t>G:\My Drive\Research\street_mapping\South_Harden_St\trunks\JsSv_uT0xfHEIwd68bwBIA_298_TSU3yYhn7Lmx5BLQnSS8Jw_258_detailed_measurement.png</t>
  </si>
  <si>
    <t>G:\My Drive\Research\street_mapping\South_Harden_St\trunks\KZhcZzz07xDel6gkPjacgw_4_S4SrA2RxHpr8PKS23WPyJw_61_detailed_measurement.png</t>
  </si>
  <si>
    <t>G:\My Drive\Research\street_mapping\South_Harden_St\trunks\S4SrA2RxHpr8PKS23WPyJw_178_KZhcZzz07xDel6gkPjacgw_258_detailed_measurement.png</t>
  </si>
  <si>
    <t>G:\My Drive\Research\street_mapping\South_Harden_St\trunks\ItCssx98CU2CKqkBnfQM_w_236_QUNhKmyFC3874TidlXNFBQ_167_detailed_measurement.png</t>
  </si>
  <si>
    <t>G:\My Drive\Research\street_mapping\South_Harden_St\trunks\r0QBPQw6BfLdgGDL18Y9PA_293_MVAA_3LMTyVaqrHKHY5J4Q_249_detailed_measurement.png</t>
  </si>
  <si>
    <t>G:\My Drive\Research\street_mapping\South_Harden_St\trunks\HvaRU0CvXZXbWn-A_ocyjQ_8_KZhcZzz07xDel6gkPjacgw_67_detailed_measurement.png</t>
  </si>
  <si>
    <t>G:\My Drive\Research\street_mapping\South_Harden_St\trunks\uJoSTxiIG5BpvBvYfzMxrw_349_JsSv_uT0xfHEIwd68bwBIA_23_detailed_measurement.png</t>
  </si>
  <si>
    <t>G:\My Drive\Research\street_mapping\South_Harden_St\trunks\ItCssx98CU2CKqkBnfQM_w_236_93jviGSgc-zoFFWTq2aBew_289_detailed_measurement.png</t>
  </si>
  <si>
    <t>G:\My Drive\Research\street_mapping\South_Harden_St\trunks\TSU3yYhn7Lmx5BLQnSS8Jw_-12_Hg4ZHmGe8F7izd9ahwzvDg_16_detailed_measurement.png</t>
  </si>
  <si>
    <t>G:\My Drive\Research\street_mapping\South_Harden_St\trunks\Hg4ZHmGe8F7izd9ahwzvDg_180_TSU3yYhn7Lmx5BLQnSS8Jw_258_detailed_measurement.png</t>
  </si>
  <si>
    <t>G:\My Drive\Research\street_mapping\South_Harden_St\trunks\VMg2FqKp5Z8UzKEuYG1xEg_12_5Cjv19SQ6rNhTUyZmhN_-Q_74_detailed_measurement.png</t>
  </si>
  <si>
    <t>G:\My Drive\Research\street_mapping\South_Harden_St\trunks\k_gt3j8dIEcou0OLNYdSNw_119_2pIPpCsOUOwuf0m2vY7ZIQ_78_detailed_measurement.png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</si>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</sst>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estimated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873268031680347"/>
                  <c:y val="-3.85575291460660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Sheet1!$C$2:$C$26</c:f>
              <c:numCache>
                <c:formatCode>General</c:formatCode>
                <c:ptCount val="25"/>
                <c:pt idx="0">
                  <c:v>0.67</c:v>
                </c:pt>
                <c:pt idx="1">
                  <c:v>0.41</c:v>
                </c:pt>
                <c:pt idx="2">
                  <c:v>1.03</c:v>
                </c:pt>
                <c:pt idx="3">
                  <c:v>0.72</c:v>
                </c:pt>
                <c:pt idx="4">
                  <c:v>0.28999999999999998</c:v>
                </c:pt>
                <c:pt idx="5">
                  <c:v>0.7</c:v>
                </c:pt>
                <c:pt idx="6">
                  <c:v>0.88</c:v>
                </c:pt>
                <c:pt idx="7">
                  <c:v>0.68</c:v>
                </c:pt>
                <c:pt idx="8">
                  <c:v>0.85</c:v>
                </c:pt>
                <c:pt idx="9">
                  <c:v>0.41</c:v>
                </c:pt>
                <c:pt idx="10">
                  <c:v>0.49</c:v>
                </c:pt>
                <c:pt idx="11">
                  <c:v>0.72</c:v>
                </c:pt>
                <c:pt idx="12">
                  <c:v>0.85</c:v>
                </c:pt>
                <c:pt idx="13">
                  <c:v>0.78</c:v>
                </c:pt>
                <c:pt idx="14">
                  <c:v>0.7</c:v>
                </c:pt>
                <c:pt idx="15">
                  <c:v>0.53</c:v>
                </c:pt>
                <c:pt idx="16">
                  <c:v>0.78</c:v>
                </c:pt>
                <c:pt idx="17">
                  <c:v>0.53</c:v>
                </c:pt>
                <c:pt idx="18">
                  <c:v>0.97</c:v>
                </c:pt>
                <c:pt idx="19">
                  <c:v>0.77</c:v>
                </c:pt>
                <c:pt idx="20">
                  <c:v>0.64</c:v>
                </c:pt>
                <c:pt idx="21">
                  <c:v>0.72</c:v>
                </c:pt>
                <c:pt idx="22">
                  <c:v>0.38</c:v>
                </c:pt>
                <c:pt idx="23">
                  <c:v>0.44</c:v>
                </c:pt>
                <c:pt idx="24">
                  <c:v>0.42</c:v>
                </c:pt>
              </c:numCache>
            </c:numRef>
          </c:xVal>
          <c:yVal>
            <c:numRef>
              <c:f>Sheet1!$D$2:$D$26</c:f>
              <c:numCache>
                <c:formatCode>General</c:formatCode>
                <c:ptCount val="25"/>
                <c:pt idx="0">
                  <c:v>0.74</c:v>
                </c:pt>
                <c:pt idx="1">
                  <c:v>0.35</c:v>
                </c:pt>
                <c:pt idx="2">
                  <c:v>1.08</c:v>
                </c:pt>
                <c:pt idx="3">
                  <c:v>0.75</c:v>
                </c:pt>
                <c:pt idx="4">
                  <c:v>0.3</c:v>
                </c:pt>
                <c:pt idx="5">
                  <c:v>0.68</c:v>
                </c:pt>
                <c:pt idx="6">
                  <c:v>0.92</c:v>
                </c:pt>
                <c:pt idx="7">
                  <c:v>0.81</c:v>
                </c:pt>
                <c:pt idx="8">
                  <c:v>0.8</c:v>
                </c:pt>
                <c:pt idx="9">
                  <c:v>0.37</c:v>
                </c:pt>
                <c:pt idx="10">
                  <c:v>0.55000000000000004</c:v>
                </c:pt>
                <c:pt idx="11">
                  <c:v>0.62</c:v>
                </c:pt>
                <c:pt idx="12">
                  <c:v>0.86</c:v>
                </c:pt>
                <c:pt idx="13">
                  <c:v>0.64</c:v>
                </c:pt>
                <c:pt idx="14">
                  <c:v>0.66</c:v>
                </c:pt>
                <c:pt idx="15">
                  <c:v>0.56000000000000005</c:v>
                </c:pt>
                <c:pt idx="16">
                  <c:v>0.82</c:v>
                </c:pt>
                <c:pt idx="17">
                  <c:v>0.5</c:v>
                </c:pt>
                <c:pt idx="18">
                  <c:v>1.04</c:v>
                </c:pt>
                <c:pt idx="19">
                  <c:v>0.81</c:v>
                </c:pt>
                <c:pt idx="20">
                  <c:v>0.68</c:v>
                </c:pt>
                <c:pt idx="21">
                  <c:v>0.67</c:v>
                </c:pt>
                <c:pt idx="22">
                  <c:v>0.38</c:v>
                </c:pt>
                <c:pt idx="23">
                  <c:v>0.43</c:v>
                </c:pt>
                <c:pt idx="24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4-4D0E-86C9-85DD606A7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824383"/>
        <c:axId val="1140812271"/>
      </c:scatterChart>
      <c:valAx>
        <c:axId val="167582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12271"/>
        <c:crosses val="autoZero"/>
        <c:crossBetween val="midCat"/>
      </c:valAx>
      <c:valAx>
        <c:axId val="114081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82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estimated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14591013202001"/>
                  <c:y val="-4.18339815956740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Sheet1!$C$2:$C$26</c:f>
              <c:numCache>
                <c:formatCode>General</c:formatCode>
                <c:ptCount val="25"/>
                <c:pt idx="0">
                  <c:v>0.67</c:v>
                </c:pt>
                <c:pt idx="1">
                  <c:v>0.41</c:v>
                </c:pt>
                <c:pt idx="2">
                  <c:v>1.03</c:v>
                </c:pt>
                <c:pt idx="3">
                  <c:v>0.72</c:v>
                </c:pt>
                <c:pt idx="4">
                  <c:v>0.28999999999999998</c:v>
                </c:pt>
                <c:pt idx="5">
                  <c:v>0.7</c:v>
                </c:pt>
                <c:pt idx="6">
                  <c:v>0.88</c:v>
                </c:pt>
                <c:pt idx="7">
                  <c:v>0.68</c:v>
                </c:pt>
                <c:pt idx="8">
                  <c:v>0.85</c:v>
                </c:pt>
                <c:pt idx="9">
                  <c:v>0.41</c:v>
                </c:pt>
                <c:pt idx="10">
                  <c:v>0.49</c:v>
                </c:pt>
                <c:pt idx="11">
                  <c:v>0.72</c:v>
                </c:pt>
                <c:pt idx="12">
                  <c:v>0.85</c:v>
                </c:pt>
                <c:pt idx="13">
                  <c:v>0.78</c:v>
                </c:pt>
                <c:pt idx="14">
                  <c:v>0.7</c:v>
                </c:pt>
                <c:pt idx="15">
                  <c:v>0.53</c:v>
                </c:pt>
                <c:pt idx="16">
                  <c:v>0.78</c:v>
                </c:pt>
                <c:pt idx="17">
                  <c:v>0.53</c:v>
                </c:pt>
                <c:pt idx="18">
                  <c:v>0.97</c:v>
                </c:pt>
                <c:pt idx="19">
                  <c:v>0.77</c:v>
                </c:pt>
                <c:pt idx="20">
                  <c:v>0.64</c:v>
                </c:pt>
                <c:pt idx="21">
                  <c:v>0.72</c:v>
                </c:pt>
                <c:pt idx="22">
                  <c:v>0.38</c:v>
                </c:pt>
                <c:pt idx="23">
                  <c:v>0.44</c:v>
                </c:pt>
                <c:pt idx="24">
                  <c:v>0.42</c:v>
                </c:pt>
              </c:numCache>
            </c:numRef>
          </c:xVal>
          <c:yVal>
            <c:numRef>
              <c:f>Sheet1!$D$2:$D$26</c:f>
              <c:numCache>
                <c:formatCode>General</c:formatCode>
                <c:ptCount val="25"/>
                <c:pt idx="0">
                  <c:v>0.74</c:v>
                </c:pt>
                <c:pt idx="1">
                  <c:v>0.35</c:v>
                </c:pt>
                <c:pt idx="2">
                  <c:v>1.08</c:v>
                </c:pt>
                <c:pt idx="3">
                  <c:v>0.75</c:v>
                </c:pt>
                <c:pt idx="4">
                  <c:v>0.3</c:v>
                </c:pt>
                <c:pt idx="5">
                  <c:v>0.68</c:v>
                </c:pt>
                <c:pt idx="6">
                  <c:v>0.92</c:v>
                </c:pt>
                <c:pt idx="7">
                  <c:v>0.81</c:v>
                </c:pt>
                <c:pt idx="8">
                  <c:v>0.8</c:v>
                </c:pt>
                <c:pt idx="9">
                  <c:v>0.37</c:v>
                </c:pt>
                <c:pt idx="10">
                  <c:v>0.55000000000000004</c:v>
                </c:pt>
                <c:pt idx="11">
                  <c:v>0.62</c:v>
                </c:pt>
                <c:pt idx="12">
                  <c:v>0.86</c:v>
                </c:pt>
                <c:pt idx="13">
                  <c:v>0.64</c:v>
                </c:pt>
                <c:pt idx="14">
                  <c:v>0.66</c:v>
                </c:pt>
                <c:pt idx="15">
                  <c:v>0.56000000000000005</c:v>
                </c:pt>
                <c:pt idx="16">
                  <c:v>0.82</c:v>
                </c:pt>
                <c:pt idx="17">
                  <c:v>0.5</c:v>
                </c:pt>
                <c:pt idx="18">
                  <c:v>1.04</c:v>
                </c:pt>
                <c:pt idx="19">
                  <c:v>0.81</c:v>
                </c:pt>
                <c:pt idx="20">
                  <c:v>0.68</c:v>
                </c:pt>
                <c:pt idx="21">
                  <c:v>0.67</c:v>
                </c:pt>
                <c:pt idx="22">
                  <c:v>0.38</c:v>
                </c:pt>
                <c:pt idx="23">
                  <c:v>0.43</c:v>
                </c:pt>
                <c:pt idx="24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8-4A14-9BF4-D44CE9E6B1D5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ground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Sheet1!$C$2:$C$26</c:f>
              <c:numCache>
                <c:formatCode>General</c:formatCode>
                <c:ptCount val="25"/>
                <c:pt idx="0">
                  <c:v>0.67</c:v>
                </c:pt>
                <c:pt idx="1">
                  <c:v>0.41</c:v>
                </c:pt>
                <c:pt idx="2">
                  <c:v>1.03</c:v>
                </c:pt>
                <c:pt idx="3">
                  <c:v>0.72</c:v>
                </c:pt>
                <c:pt idx="4">
                  <c:v>0.28999999999999998</c:v>
                </c:pt>
                <c:pt idx="5">
                  <c:v>0.7</c:v>
                </c:pt>
                <c:pt idx="6">
                  <c:v>0.88</c:v>
                </c:pt>
                <c:pt idx="7">
                  <c:v>0.68</c:v>
                </c:pt>
                <c:pt idx="8">
                  <c:v>0.85</c:v>
                </c:pt>
                <c:pt idx="9">
                  <c:v>0.41</c:v>
                </c:pt>
                <c:pt idx="10">
                  <c:v>0.49</c:v>
                </c:pt>
                <c:pt idx="11">
                  <c:v>0.72</c:v>
                </c:pt>
                <c:pt idx="12">
                  <c:v>0.85</c:v>
                </c:pt>
                <c:pt idx="13">
                  <c:v>0.78</c:v>
                </c:pt>
                <c:pt idx="14">
                  <c:v>0.7</c:v>
                </c:pt>
                <c:pt idx="15">
                  <c:v>0.53</c:v>
                </c:pt>
                <c:pt idx="16">
                  <c:v>0.78</c:v>
                </c:pt>
                <c:pt idx="17">
                  <c:v>0.53</c:v>
                </c:pt>
                <c:pt idx="18">
                  <c:v>0.97</c:v>
                </c:pt>
                <c:pt idx="19">
                  <c:v>0.77</c:v>
                </c:pt>
                <c:pt idx="20">
                  <c:v>0.64</c:v>
                </c:pt>
                <c:pt idx="21">
                  <c:v>0.72</c:v>
                </c:pt>
                <c:pt idx="22">
                  <c:v>0.38</c:v>
                </c:pt>
                <c:pt idx="23">
                  <c:v>0.44</c:v>
                </c:pt>
                <c:pt idx="24">
                  <c:v>0.42</c:v>
                </c:pt>
              </c:numCache>
            </c:numRef>
          </c:xVal>
          <c:yVal>
            <c:numRef>
              <c:f>Sheet1!$G$2:$G$26</c:f>
              <c:numCache>
                <c:formatCode>General</c:formatCode>
                <c:ptCount val="25"/>
                <c:pt idx="0">
                  <c:v>0.67</c:v>
                </c:pt>
                <c:pt idx="1">
                  <c:v>0.41</c:v>
                </c:pt>
                <c:pt idx="2">
                  <c:v>1.03</c:v>
                </c:pt>
                <c:pt idx="3">
                  <c:v>0.72</c:v>
                </c:pt>
                <c:pt idx="4">
                  <c:v>0.28999999999999998</c:v>
                </c:pt>
                <c:pt idx="5">
                  <c:v>0.7</c:v>
                </c:pt>
                <c:pt idx="6">
                  <c:v>0.88</c:v>
                </c:pt>
                <c:pt idx="7">
                  <c:v>0.68</c:v>
                </c:pt>
                <c:pt idx="8">
                  <c:v>0.85</c:v>
                </c:pt>
                <c:pt idx="9">
                  <c:v>0.41</c:v>
                </c:pt>
                <c:pt idx="10">
                  <c:v>0.49</c:v>
                </c:pt>
                <c:pt idx="11">
                  <c:v>0.72</c:v>
                </c:pt>
                <c:pt idx="12">
                  <c:v>0.85</c:v>
                </c:pt>
                <c:pt idx="13">
                  <c:v>0.78</c:v>
                </c:pt>
                <c:pt idx="14">
                  <c:v>0.7</c:v>
                </c:pt>
                <c:pt idx="15">
                  <c:v>0.53</c:v>
                </c:pt>
                <c:pt idx="16">
                  <c:v>0.78</c:v>
                </c:pt>
                <c:pt idx="17">
                  <c:v>0.53</c:v>
                </c:pt>
                <c:pt idx="18">
                  <c:v>0.97</c:v>
                </c:pt>
                <c:pt idx="19">
                  <c:v>0.77</c:v>
                </c:pt>
                <c:pt idx="20">
                  <c:v>0.64</c:v>
                </c:pt>
                <c:pt idx="21">
                  <c:v>0.72</c:v>
                </c:pt>
                <c:pt idx="22">
                  <c:v>0.38</c:v>
                </c:pt>
                <c:pt idx="23">
                  <c:v>0.44</c:v>
                </c:pt>
                <c:pt idx="24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8-4A14-9BF4-D44CE9E6B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684655"/>
        <c:axId val="1623434991"/>
      </c:scatterChart>
      <c:valAx>
        <c:axId val="94368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Ground</a:t>
                </a:r>
                <a:r>
                  <a:rPr lang="en-US" sz="1600" baseline="0"/>
                  <a:t> truth (meter)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34991"/>
        <c:crosses val="autoZero"/>
        <c:crossBetween val="midCat"/>
      </c:valAx>
      <c:valAx>
        <c:axId val="16234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Computed</a:t>
                </a:r>
                <a:r>
                  <a:rPr lang="en-US" sz="1600" baseline="0"/>
                  <a:t> from street view image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8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E62E358E-D688-4CBC-AEE3-37BFFCF4014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42A2C7F8-AFB2-4EA8-B9B8-0B6D4A2C6B82}">
          <cx:spPr>
            <a:ln w="9525">
              <a:solidFill>
                <a:schemeClr val="accent1"/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149225</xdr:colOff>
      <xdr:row>10</xdr:row>
      <xdr:rowOff>95250</xdr:rowOff>
    </xdr:from>
    <xdr:to>
      <xdr:col>16</xdr:col>
      <xdr:colOff>463551</xdr:colOff>
      <xdr:row>32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FD52A5-B2E0-9DF9-E1B6-69FB0A536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76200</xdr:colOff>
      <xdr:row>12</xdr:row>
      <xdr:rowOff>0</xdr:rowOff>
    </xdr:from>
    <xdr:to>
      <xdr:col>23</xdr:col>
      <xdr:colOff>304799</xdr:colOff>
      <xdr:row>40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5669B5-738F-DA48-5BDA-0758F6D39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41274</xdr:colOff>
      <xdr:row>12</xdr:row>
      <xdr:rowOff>0</xdr:rowOff>
    </xdr:from>
    <xdr:to>
      <xdr:col>20</xdr:col>
      <xdr:colOff>44449</xdr:colOff>
      <xdr:row>41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404514D-1DCE-B97A-B1E4-9DE385ECB9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1924" y="2209800"/>
              <a:ext cx="7927975" cy="551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12</xdr:row>
      <xdr:rowOff>0</xdr:rowOff>
    </xdr:from>
    <xdr:to>
      <xdr:col>13</xdr:col>
      <xdr:colOff>215899</xdr:colOff>
      <xdr:row>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028003-3845-FCF4-DEC9-05A3AFF2D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6524" y="2209800"/>
              <a:ext cx="4892675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7B77-477E-498C-A791-7F46482A3989}">
  <dimension ref="A1:N26"/>
  <sheetViews>
    <sheetView workbookViewId="0">
      <selection activeCell="H1" sqref="H1:H1048576"/>
    </sheetView>
  </sheetViews>
  <sheetFormatPr defaultRowHeight="14.5"/>
  <cols>
    <col min="3" max="3" width="12.6328125" customWidth="1"/>
    <col min="4" max="4" width="9.08984375" bestFit="1" customWidth="1"/>
    <col min="5" max="5" width="5.453125" bestFit="1" customWidth="1"/>
    <col min="6" max="6" width="12.453125" bestFit="1" customWidth="1"/>
  </cols>
  <sheetData>
    <row r="1" spans="1:14">
      <c r="C1" t="s">
        <v>0</v>
      </c>
      <c r="D1" t="s">
        <v>1</v>
      </c>
      <c r="E1" t="s">
        <v>2</v>
      </c>
      <c r="F1" t="s">
        <v>3</v>
      </c>
      <c r="G1" t="s">
        <v>22</v>
      </c>
      <c r="H1" t="s">
        <v>3</v>
      </c>
    </row>
    <row r="2" spans="1:14">
      <c r="A2" t="s">
        <v>4</v>
      </c>
      <c r="B2">
        <v>1</v>
      </c>
      <c r="C2">
        <v>0.67</v>
      </c>
      <c r="D2">
        <v>0.74</v>
      </c>
      <c r="E2">
        <f>D2-C2</f>
        <v>6.9999999999999951E-2</v>
      </c>
      <c r="F2" s="2">
        <f>E2/C2</f>
        <v>0.10447761194029843</v>
      </c>
      <c r="G2">
        <f>C2</f>
        <v>0.67</v>
      </c>
      <c r="H2">
        <f>ABS(F2)</f>
        <v>0.10447761194029843</v>
      </c>
      <c r="I2">
        <f>ABS(E2)</f>
        <v>6.9999999999999951E-2</v>
      </c>
    </row>
    <row r="3" spans="1:14">
      <c r="A3" t="s">
        <v>5</v>
      </c>
      <c r="B3">
        <v>2</v>
      </c>
      <c r="C3">
        <v>0.41</v>
      </c>
      <c r="D3">
        <v>0.35</v>
      </c>
      <c r="E3">
        <f t="shared" ref="E3:E12" si="0">D3-C3</f>
        <v>-0.06</v>
      </c>
      <c r="F3" s="2">
        <f t="shared" ref="F3:F12" si="1">E3/C3</f>
        <v>-0.14634146341463414</v>
      </c>
      <c r="G3">
        <f t="shared" ref="G3:G26" si="2">C3</f>
        <v>0.41</v>
      </c>
      <c r="H3">
        <f t="shared" ref="H3:H26" si="3">ABS(F3)</f>
        <v>0.14634146341463414</v>
      </c>
      <c r="I3">
        <f t="shared" ref="I3:I26" si="4">ABS(E3)</f>
        <v>0.06</v>
      </c>
      <c r="J3" s="1"/>
      <c r="K3" s="1"/>
      <c r="L3" s="1"/>
      <c r="M3" s="1"/>
      <c r="N3" s="1"/>
    </row>
    <row r="4" spans="1:14">
      <c r="A4" t="s">
        <v>6</v>
      </c>
      <c r="B4">
        <v>3</v>
      </c>
      <c r="C4">
        <v>1.03</v>
      </c>
      <c r="D4">
        <v>1.08</v>
      </c>
      <c r="E4">
        <f t="shared" si="0"/>
        <v>5.0000000000000044E-2</v>
      </c>
      <c r="F4" s="2">
        <f t="shared" si="1"/>
        <v>4.854368932038839E-2</v>
      </c>
      <c r="G4">
        <f t="shared" si="2"/>
        <v>1.03</v>
      </c>
      <c r="H4">
        <f t="shared" si="3"/>
        <v>4.854368932038839E-2</v>
      </c>
      <c r="I4">
        <f t="shared" si="4"/>
        <v>5.0000000000000044E-2</v>
      </c>
      <c r="J4" s="1" t="s">
        <v>7</v>
      </c>
      <c r="K4" s="1">
        <v>0.61</v>
      </c>
      <c r="L4" s="1">
        <v>0.89</v>
      </c>
      <c r="M4" s="1">
        <f>L4-K4</f>
        <v>0.28000000000000003</v>
      </c>
      <c r="N4" s="1">
        <f>M4/K4</f>
        <v>0.45901639344262302</v>
      </c>
    </row>
    <row r="5" spans="1:14">
      <c r="A5" t="s">
        <v>8</v>
      </c>
      <c r="B5">
        <v>4</v>
      </c>
      <c r="C5">
        <v>0.72</v>
      </c>
      <c r="D5">
        <v>0.75</v>
      </c>
      <c r="E5">
        <f t="shared" si="0"/>
        <v>3.0000000000000027E-2</v>
      </c>
      <c r="F5" s="2">
        <f t="shared" si="1"/>
        <v>4.1666666666666706E-2</v>
      </c>
      <c r="G5">
        <f t="shared" si="2"/>
        <v>0.72</v>
      </c>
      <c r="H5">
        <f t="shared" si="3"/>
        <v>4.1666666666666706E-2</v>
      </c>
      <c r="I5">
        <f t="shared" si="4"/>
        <v>3.0000000000000027E-2</v>
      </c>
      <c r="J5" s="1" t="s">
        <v>20</v>
      </c>
      <c r="K5" s="1">
        <v>0.61</v>
      </c>
      <c r="L5" s="1">
        <v>0.93</v>
      </c>
      <c r="M5" s="1">
        <f>L5-K5</f>
        <v>0.32000000000000006</v>
      </c>
      <c r="N5" s="1">
        <f>M5/K5</f>
        <v>0.52459016393442637</v>
      </c>
    </row>
    <row r="6" spans="1:14">
      <c r="A6" t="s">
        <v>9</v>
      </c>
      <c r="B6">
        <v>5</v>
      </c>
      <c r="C6">
        <v>0.28999999999999998</v>
      </c>
      <c r="D6">
        <v>0.3</v>
      </c>
      <c r="E6">
        <f t="shared" si="0"/>
        <v>1.0000000000000009E-2</v>
      </c>
      <c r="F6" s="2">
        <f t="shared" si="1"/>
        <v>3.4482758620689689E-2</v>
      </c>
      <c r="G6">
        <f t="shared" si="2"/>
        <v>0.28999999999999998</v>
      </c>
      <c r="H6">
        <f t="shared" si="3"/>
        <v>3.4482758620689689E-2</v>
      </c>
      <c r="I6">
        <f t="shared" si="4"/>
        <v>1.0000000000000009E-2</v>
      </c>
    </row>
    <row r="7" spans="1:14">
      <c r="A7" t="s">
        <v>10</v>
      </c>
      <c r="B7">
        <v>6</v>
      </c>
      <c r="C7">
        <v>0.7</v>
      </c>
      <c r="D7">
        <v>0.68</v>
      </c>
      <c r="E7">
        <f t="shared" si="0"/>
        <v>-1.9999999999999907E-2</v>
      </c>
      <c r="F7" s="2">
        <f t="shared" si="1"/>
        <v>-2.8571428571428439E-2</v>
      </c>
      <c r="G7">
        <f t="shared" si="2"/>
        <v>0.7</v>
      </c>
      <c r="H7">
        <f t="shared" si="3"/>
        <v>2.8571428571428439E-2</v>
      </c>
      <c r="I7">
        <f t="shared" si="4"/>
        <v>1.9999999999999907E-2</v>
      </c>
    </row>
    <row r="8" spans="1:14">
      <c r="A8" t="s">
        <v>11</v>
      </c>
      <c r="B8">
        <v>7</v>
      </c>
      <c r="C8">
        <v>0.88</v>
      </c>
      <c r="D8">
        <v>0.92</v>
      </c>
      <c r="E8">
        <f t="shared" si="0"/>
        <v>4.0000000000000036E-2</v>
      </c>
      <c r="F8" s="2">
        <f t="shared" si="1"/>
        <v>4.5454545454545497E-2</v>
      </c>
      <c r="G8">
        <f t="shared" si="2"/>
        <v>0.88</v>
      </c>
      <c r="H8">
        <f t="shared" si="3"/>
        <v>4.5454545454545497E-2</v>
      </c>
      <c r="I8">
        <f t="shared" si="4"/>
        <v>4.0000000000000036E-2</v>
      </c>
    </row>
    <row r="9" spans="1:14">
      <c r="A9" t="s">
        <v>12</v>
      </c>
      <c r="B9">
        <v>8</v>
      </c>
      <c r="C9">
        <v>0.68</v>
      </c>
      <c r="D9">
        <v>0.81</v>
      </c>
      <c r="E9">
        <f t="shared" si="0"/>
        <v>0.13</v>
      </c>
      <c r="F9" s="2">
        <f t="shared" si="1"/>
        <v>0.19117647058823528</v>
      </c>
      <c r="G9">
        <f t="shared" si="2"/>
        <v>0.68</v>
      </c>
      <c r="H9">
        <f t="shared" si="3"/>
        <v>0.19117647058823528</v>
      </c>
      <c r="I9">
        <f t="shared" si="4"/>
        <v>0.13</v>
      </c>
    </row>
    <row r="10" spans="1:14">
      <c r="A10" t="s">
        <v>13</v>
      </c>
      <c r="B10">
        <v>9</v>
      </c>
      <c r="C10">
        <v>0.85</v>
      </c>
      <c r="D10">
        <v>0.8</v>
      </c>
      <c r="E10">
        <f t="shared" si="0"/>
        <v>-4.9999999999999933E-2</v>
      </c>
      <c r="F10" s="2">
        <f t="shared" si="1"/>
        <v>-5.8823529411764629E-2</v>
      </c>
      <c r="G10">
        <f t="shared" si="2"/>
        <v>0.85</v>
      </c>
      <c r="H10">
        <f t="shared" si="3"/>
        <v>5.8823529411764629E-2</v>
      </c>
      <c r="I10">
        <f t="shared" si="4"/>
        <v>4.9999999999999933E-2</v>
      </c>
    </row>
    <row r="11" spans="1:14">
      <c r="A11" t="s">
        <v>14</v>
      </c>
      <c r="B11">
        <v>10</v>
      </c>
      <c r="C11">
        <v>0.41</v>
      </c>
      <c r="D11">
        <v>0.37</v>
      </c>
      <c r="E11">
        <f t="shared" si="0"/>
        <v>-3.999999999999998E-2</v>
      </c>
      <c r="F11" s="2">
        <f t="shared" si="1"/>
        <v>-9.7560975609756059E-2</v>
      </c>
      <c r="G11">
        <f t="shared" si="2"/>
        <v>0.41</v>
      </c>
      <c r="H11">
        <f t="shared" si="3"/>
        <v>9.7560975609756059E-2</v>
      </c>
      <c r="I11">
        <f t="shared" si="4"/>
        <v>3.999999999999998E-2</v>
      </c>
    </row>
    <row r="12" spans="1:14">
      <c r="A12" t="s">
        <v>15</v>
      </c>
      <c r="B12">
        <v>11</v>
      </c>
      <c r="C12">
        <v>0.49</v>
      </c>
      <c r="D12">
        <v>0.55000000000000004</v>
      </c>
      <c r="E12">
        <f t="shared" si="0"/>
        <v>6.0000000000000053E-2</v>
      </c>
      <c r="F12" s="2">
        <f t="shared" si="1"/>
        <v>0.12244897959183684</v>
      </c>
      <c r="G12">
        <f t="shared" si="2"/>
        <v>0.49</v>
      </c>
      <c r="H12">
        <f t="shared" si="3"/>
        <v>0.12244897959183684</v>
      </c>
      <c r="I12">
        <f t="shared" si="4"/>
        <v>6.0000000000000053E-2</v>
      </c>
    </row>
    <row r="13" spans="1:14">
      <c r="A13" t="s">
        <v>16</v>
      </c>
      <c r="B13">
        <v>12</v>
      </c>
      <c r="C13">
        <v>0.72</v>
      </c>
      <c r="D13">
        <v>0.62</v>
      </c>
      <c r="E13">
        <f t="shared" ref="E13:E22" si="5">D13-C13</f>
        <v>-9.9999999999999978E-2</v>
      </c>
      <c r="F13" s="2">
        <f t="shared" ref="F13:F22" si="6">E13/C13</f>
        <v>-0.13888888888888887</v>
      </c>
      <c r="G13">
        <f t="shared" si="2"/>
        <v>0.72</v>
      </c>
      <c r="H13">
        <f t="shared" si="3"/>
        <v>0.13888888888888887</v>
      </c>
      <c r="I13">
        <f t="shared" si="4"/>
        <v>9.9999999999999978E-2</v>
      </c>
    </row>
    <row r="14" spans="1:14">
      <c r="A14" t="s">
        <v>17</v>
      </c>
      <c r="B14">
        <v>13</v>
      </c>
      <c r="C14">
        <v>0.85</v>
      </c>
      <c r="D14">
        <v>0.86</v>
      </c>
      <c r="E14">
        <f t="shared" si="5"/>
        <v>1.0000000000000009E-2</v>
      </c>
      <c r="F14" s="2">
        <f t="shared" si="6"/>
        <v>1.1764705882352951E-2</v>
      </c>
      <c r="G14">
        <f t="shared" si="2"/>
        <v>0.85</v>
      </c>
      <c r="H14">
        <f t="shared" si="3"/>
        <v>1.1764705882352951E-2</v>
      </c>
      <c r="I14">
        <f t="shared" si="4"/>
        <v>1.0000000000000009E-2</v>
      </c>
    </row>
    <row r="15" spans="1:14">
      <c r="A15" t="s">
        <v>18</v>
      </c>
      <c r="B15">
        <v>14</v>
      </c>
      <c r="C15">
        <v>0.78</v>
      </c>
      <c r="D15">
        <v>0.64</v>
      </c>
      <c r="E15">
        <f t="shared" si="5"/>
        <v>-0.14000000000000001</v>
      </c>
      <c r="F15" s="2">
        <f t="shared" si="6"/>
        <v>-0.17948717948717949</v>
      </c>
      <c r="G15">
        <f t="shared" si="2"/>
        <v>0.78</v>
      </c>
      <c r="H15">
        <f t="shared" si="3"/>
        <v>0.17948717948717949</v>
      </c>
      <c r="I15">
        <f t="shared" si="4"/>
        <v>0.14000000000000001</v>
      </c>
    </row>
    <row r="16" spans="1:14">
      <c r="A16" t="s">
        <v>19</v>
      </c>
      <c r="B16">
        <v>15</v>
      </c>
      <c r="C16">
        <v>0.7</v>
      </c>
      <c r="D16">
        <v>0.66</v>
      </c>
      <c r="E16">
        <f t="shared" si="5"/>
        <v>-3.9999999999999925E-2</v>
      </c>
      <c r="F16" s="2">
        <f t="shared" si="6"/>
        <v>-5.7142857142857037E-2</v>
      </c>
      <c r="G16">
        <f t="shared" si="2"/>
        <v>0.7</v>
      </c>
      <c r="H16">
        <f t="shared" si="3"/>
        <v>5.7142857142857037E-2</v>
      </c>
      <c r="I16">
        <f t="shared" si="4"/>
        <v>3.9999999999999925E-2</v>
      </c>
    </row>
    <row r="17" spans="1:9">
      <c r="A17" t="s">
        <v>21</v>
      </c>
      <c r="B17">
        <v>16</v>
      </c>
      <c r="C17">
        <v>0.53</v>
      </c>
      <c r="D17">
        <v>0.56000000000000005</v>
      </c>
      <c r="E17">
        <f t="shared" si="5"/>
        <v>3.0000000000000027E-2</v>
      </c>
      <c r="F17" s="2">
        <f t="shared" si="6"/>
        <v>5.660377358490571E-2</v>
      </c>
      <c r="G17">
        <f t="shared" si="2"/>
        <v>0.53</v>
      </c>
      <c r="H17">
        <f t="shared" si="3"/>
        <v>5.660377358490571E-2</v>
      </c>
      <c r="I17">
        <f t="shared" si="4"/>
        <v>3.0000000000000027E-2</v>
      </c>
    </row>
    <row r="18" spans="1:9">
      <c r="B18">
        <v>17</v>
      </c>
      <c r="C18">
        <v>0.78</v>
      </c>
      <c r="D18">
        <v>0.82</v>
      </c>
      <c r="E18">
        <f>D18-C18</f>
        <v>3.9999999999999925E-2</v>
      </c>
      <c r="F18" s="2">
        <f>E18/C18</f>
        <v>5.1282051282051183E-2</v>
      </c>
      <c r="G18">
        <f t="shared" si="2"/>
        <v>0.78</v>
      </c>
      <c r="H18">
        <f t="shared" si="3"/>
        <v>5.1282051282051183E-2</v>
      </c>
      <c r="I18">
        <f t="shared" si="4"/>
        <v>3.9999999999999925E-2</v>
      </c>
    </row>
    <row r="19" spans="1:9">
      <c r="B19">
        <v>18</v>
      </c>
      <c r="C19">
        <v>0.53</v>
      </c>
      <c r="D19">
        <v>0.5</v>
      </c>
      <c r="E19">
        <f>D19-C19</f>
        <v>-3.0000000000000027E-2</v>
      </c>
      <c r="F19" s="2">
        <f>E19/C19</f>
        <v>-5.660377358490571E-2</v>
      </c>
      <c r="G19">
        <f t="shared" si="2"/>
        <v>0.53</v>
      </c>
      <c r="H19">
        <f t="shared" si="3"/>
        <v>5.660377358490571E-2</v>
      </c>
      <c r="I19">
        <f t="shared" si="4"/>
        <v>3.0000000000000027E-2</v>
      </c>
    </row>
    <row r="20" spans="1:9">
      <c r="B20">
        <v>19</v>
      </c>
      <c r="C20">
        <v>0.97</v>
      </c>
      <c r="D20">
        <v>1.04</v>
      </c>
      <c r="E20">
        <f t="shared" ref="E20:E26" si="7">D20-C20</f>
        <v>7.0000000000000062E-2</v>
      </c>
      <c r="F20" s="2">
        <f t="shared" ref="F20:F26" si="8">E20/C20</f>
        <v>7.216494845360831E-2</v>
      </c>
      <c r="G20">
        <f t="shared" si="2"/>
        <v>0.97</v>
      </c>
      <c r="H20">
        <f t="shared" si="3"/>
        <v>7.216494845360831E-2</v>
      </c>
      <c r="I20">
        <f t="shared" si="4"/>
        <v>7.0000000000000062E-2</v>
      </c>
    </row>
    <row r="21" spans="1:9">
      <c r="B21">
        <v>20</v>
      </c>
      <c r="C21">
        <v>0.77</v>
      </c>
      <c r="D21">
        <v>0.81</v>
      </c>
      <c r="E21">
        <f t="shared" si="7"/>
        <v>4.0000000000000036E-2</v>
      </c>
      <c r="F21" s="2">
        <f t="shared" si="8"/>
        <v>5.1948051948051993E-2</v>
      </c>
      <c r="G21">
        <f t="shared" si="2"/>
        <v>0.77</v>
      </c>
      <c r="H21">
        <f t="shared" si="3"/>
        <v>5.1948051948051993E-2</v>
      </c>
      <c r="I21">
        <f t="shared" si="4"/>
        <v>4.0000000000000036E-2</v>
      </c>
    </row>
    <row r="22" spans="1:9">
      <c r="B22">
        <v>21</v>
      </c>
      <c r="C22">
        <v>0.64</v>
      </c>
      <c r="D22">
        <v>0.68</v>
      </c>
      <c r="E22">
        <f t="shared" si="7"/>
        <v>4.0000000000000036E-2</v>
      </c>
      <c r="F22" s="2">
        <f t="shared" si="8"/>
        <v>6.2500000000000056E-2</v>
      </c>
      <c r="G22">
        <f t="shared" si="2"/>
        <v>0.64</v>
      </c>
      <c r="H22">
        <f t="shared" si="3"/>
        <v>6.2500000000000056E-2</v>
      </c>
      <c r="I22">
        <f t="shared" si="4"/>
        <v>4.0000000000000036E-2</v>
      </c>
    </row>
    <row r="23" spans="1:9">
      <c r="B23">
        <v>22</v>
      </c>
      <c r="C23">
        <v>0.72</v>
      </c>
      <c r="D23">
        <v>0.67</v>
      </c>
      <c r="E23">
        <f t="shared" si="7"/>
        <v>-4.9999999999999933E-2</v>
      </c>
      <c r="F23" s="2">
        <f t="shared" si="8"/>
        <v>-6.944444444444435E-2</v>
      </c>
      <c r="G23">
        <f t="shared" si="2"/>
        <v>0.72</v>
      </c>
      <c r="H23">
        <f t="shared" si="3"/>
        <v>6.944444444444435E-2</v>
      </c>
      <c r="I23">
        <f t="shared" si="4"/>
        <v>4.9999999999999933E-2</v>
      </c>
    </row>
    <row r="24" spans="1:9">
      <c r="B24">
        <v>23</v>
      </c>
      <c r="C24">
        <v>0.38</v>
      </c>
      <c r="D24">
        <v>0.38</v>
      </c>
      <c r="E24">
        <f t="shared" si="7"/>
        <v>0</v>
      </c>
      <c r="F24" s="2">
        <f t="shared" si="8"/>
        <v>0</v>
      </c>
      <c r="G24">
        <f t="shared" si="2"/>
        <v>0.38</v>
      </c>
      <c r="H24">
        <f t="shared" si="3"/>
        <v>0</v>
      </c>
      <c r="I24">
        <f t="shared" si="4"/>
        <v>0</v>
      </c>
    </row>
    <row r="25" spans="1:9">
      <c r="B25">
        <v>24</v>
      </c>
      <c r="C25">
        <v>0.44</v>
      </c>
      <c r="D25">
        <v>0.43</v>
      </c>
      <c r="E25">
        <f t="shared" si="7"/>
        <v>-1.0000000000000009E-2</v>
      </c>
      <c r="F25" s="2">
        <f t="shared" si="8"/>
        <v>-2.2727272727272749E-2</v>
      </c>
      <c r="G25">
        <f t="shared" si="2"/>
        <v>0.44</v>
      </c>
      <c r="H25">
        <f t="shared" si="3"/>
        <v>2.2727272727272749E-2</v>
      </c>
      <c r="I25">
        <f t="shared" si="4"/>
        <v>1.0000000000000009E-2</v>
      </c>
    </row>
    <row r="26" spans="1:9">
      <c r="B26">
        <v>25</v>
      </c>
      <c r="C26">
        <v>0.42</v>
      </c>
      <c r="D26">
        <v>0.42</v>
      </c>
      <c r="E26">
        <f t="shared" si="7"/>
        <v>0</v>
      </c>
      <c r="F26" s="2">
        <f t="shared" si="8"/>
        <v>0</v>
      </c>
      <c r="G26">
        <f t="shared" si="2"/>
        <v>0.42</v>
      </c>
      <c r="H26">
        <f t="shared" si="3"/>
        <v>0</v>
      </c>
      <c r="I26">
        <f t="shared" si="4"/>
        <v>0</v>
      </c>
    </row>
  </sheetData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9BA6-CF72-4A56-95FD-FBB71FA4B7B3}">
  <dimension ref="A1:Q26"/>
  <sheetViews>
    <sheetView tabSelected="1" workbookViewId="0">
      <selection activeCell="O26" sqref="O26"/>
    </sheetView>
  </sheetViews>
  <sheetFormatPr defaultRowHeight="14.5"/>
  <cols>
    <col min="1" max="1" width="11.453125" bestFit="1" customWidth="1"/>
    <col min="2" max="2" width="9.08984375" bestFit="1" customWidth="1"/>
    <col min="4" max="4" width="11" customWidth="1"/>
    <col min="5" max="5" width="13.3632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>
      <c r="A2">
        <v>0.38</v>
      </c>
      <c r="B2">
        <v>0.38</v>
      </c>
      <c r="C2">
        <f>B2-A2</f>
        <v>0</v>
      </c>
      <c r="D2" s="2">
        <f>C2/A2</f>
        <v>0</v>
      </c>
      <c r="E2">
        <f>ABS(D2)</f>
        <v>0</v>
      </c>
    </row>
    <row r="3" spans="1:5">
      <c r="A3">
        <v>0.42</v>
      </c>
      <c r="B3">
        <v>0.42</v>
      </c>
      <c r="C3">
        <f>B3-A3</f>
        <v>0</v>
      </c>
      <c r="D3" s="2">
        <f>C3/A3</f>
        <v>0</v>
      </c>
      <c r="E3">
        <f>ABS(D3)</f>
        <v>0</v>
      </c>
    </row>
    <row r="4" spans="1:5">
      <c r="A4">
        <v>0.85</v>
      </c>
      <c r="B4">
        <v>0.86</v>
      </c>
      <c r="C4">
        <f>B4-A4</f>
        <v>1.0000000000000009E-2</v>
      </c>
      <c r="D4" s="2">
        <f>C4/A4</f>
        <v>1.1764705882352951E-2</v>
      </c>
      <c r="E4">
        <f>ABS(D4)</f>
        <v>1.1764705882352951E-2</v>
      </c>
    </row>
    <row r="5" spans="1:5">
      <c r="A5">
        <v>0.44</v>
      </c>
      <c r="B5">
        <v>0.43</v>
      </c>
      <c r="C5">
        <f>B5-A5</f>
        <v>-1.0000000000000009E-2</v>
      </c>
      <c r="D5" s="2">
        <f>C5/A5</f>
        <v>-2.2727272727272749E-2</v>
      </c>
      <c r="E5">
        <f>ABS(D5)</f>
        <v>2.2727272727272749E-2</v>
      </c>
    </row>
    <row r="6" spans="1:5">
      <c r="A6">
        <v>0.7</v>
      </c>
      <c r="B6">
        <v>0.68</v>
      </c>
      <c r="C6">
        <f>B6-A6</f>
        <v>-1.9999999999999907E-2</v>
      </c>
      <c r="D6" s="2">
        <f>C6/A6</f>
        <v>-2.8571428571428439E-2</v>
      </c>
      <c r="E6">
        <f>ABS(D6)</f>
        <v>2.8571428571428439E-2</v>
      </c>
    </row>
    <row r="7" spans="1:5">
      <c r="A7">
        <v>0.28999999999999998</v>
      </c>
      <c r="B7">
        <v>0.3</v>
      </c>
      <c r="C7">
        <f>B7-A7</f>
        <v>1.0000000000000009E-2</v>
      </c>
      <c r="D7" s="2">
        <f>C7/A7</f>
        <v>3.4482758620689689E-2</v>
      </c>
      <c r="E7">
        <f>ABS(D7)</f>
        <v>3.4482758620689689E-2</v>
      </c>
    </row>
    <row r="8" spans="1:5">
      <c r="A8">
        <v>0.72</v>
      </c>
      <c r="B8">
        <v>0.75</v>
      </c>
      <c r="C8">
        <f>B8-A8</f>
        <v>3.0000000000000027E-2</v>
      </c>
      <c r="D8" s="2">
        <f>C8/A8</f>
        <v>4.1666666666666706E-2</v>
      </c>
      <c r="E8">
        <f>ABS(D8)</f>
        <v>4.1666666666666706E-2</v>
      </c>
    </row>
    <row r="9" spans="1:5">
      <c r="A9">
        <v>0.88</v>
      </c>
      <c r="B9">
        <v>0.92</v>
      </c>
      <c r="C9">
        <f>B9-A9</f>
        <v>4.0000000000000036E-2</v>
      </c>
      <c r="D9" s="2">
        <f>C9/A9</f>
        <v>4.5454545454545497E-2</v>
      </c>
      <c r="E9">
        <f>ABS(D9)</f>
        <v>4.5454545454545497E-2</v>
      </c>
    </row>
    <row r="10" spans="1:5">
      <c r="A10">
        <v>1.03</v>
      </c>
      <c r="B10">
        <v>1.08</v>
      </c>
      <c r="C10">
        <f>B10-A10</f>
        <v>5.0000000000000044E-2</v>
      </c>
      <c r="D10" s="2">
        <f>C10/A10</f>
        <v>4.854368932038839E-2</v>
      </c>
      <c r="E10">
        <f>ABS(D10)</f>
        <v>4.854368932038839E-2</v>
      </c>
    </row>
    <row r="11" spans="1:5">
      <c r="A11">
        <v>0.78</v>
      </c>
      <c r="B11">
        <v>0.82</v>
      </c>
      <c r="C11">
        <f>B11-A11</f>
        <v>3.9999999999999925E-2</v>
      </c>
      <c r="D11" s="2">
        <f>C11/A11</f>
        <v>5.1282051282051183E-2</v>
      </c>
      <c r="E11">
        <f>ABS(D11)</f>
        <v>5.1282051282051183E-2</v>
      </c>
    </row>
    <row r="12" spans="1:5">
      <c r="A12">
        <v>0.77</v>
      </c>
      <c r="B12">
        <v>0.81</v>
      </c>
      <c r="C12">
        <f>B12-A12</f>
        <v>4.0000000000000036E-2</v>
      </c>
      <c r="D12" s="2">
        <f>C12/A12</f>
        <v>5.1948051948051993E-2</v>
      </c>
      <c r="E12">
        <f>ABS(D12)</f>
        <v>5.1948051948051993E-2</v>
      </c>
    </row>
    <row r="13" spans="1:5">
      <c r="A13">
        <v>0.53</v>
      </c>
      <c r="B13">
        <v>0.56000000000000005</v>
      </c>
      <c r="C13">
        <f>B13-A13</f>
        <v>3.0000000000000027E-2</v>
      </c>
      <c r="D13" s="2">
        <f>C13/A13</f>
        <v>5.660377358490571E-2</v>
      </c>
      <c r="E13">
        <f>ABS(D13)</f>
        <v>5.660377358490571E-2</v>
      </c>
    </row>
    <row r="14" spans="1:5">
      <c r="A14">
        <v>0.53</v>
      </c>
      <c r="B14">
        <v>0.5</v>
      </c>
      <c r="C14">
        <f>B14-A14</f>
        <v>-3.0000000000000027E-2</v>
      </c>
      <c r="D14" s="2">
        <f>C14/A14</f>
        <v>-5.660377358490571E-2</v>
      </c>
      <c r="E14">
        <f>ABS(D14)</f>
        <v>5.660377358490571E-2</v>
      </c>
    </row>
    <row r="15" spans="1:5">
      <c r="A15">
        <v>0.7</v>
      </c>
      <c r="B15">
        <v>0.66</v>
      </c>
      <c r="C15">
        <f>B15-A15</f>
        <v>-3.9999999999999925E-2</v>
      </c>
      <c r="D15" s="2">
        <f>C15/A15</f>
        <v>-5.7142857142857037E-2</v>
      </c>
      <c r="E15">
        <f>ABS(D15)</f>
        <v>5.7142857142857037E-2</v>
      </c>
    </row>
    <row r="16" spans="1:5">
      <c r="A16">
        <v>0.85</v>
      </c>
      <c r="B16">
        <v>0.8</v>
      </c>
      <c r="C16">
        <f>B16-A16</f>
        <v>-4.9999999999999933E-2</v>
      </c>
      <c r="D16" s="2">
        <f>C16/A16</f>
        <v>-5.8823529411764629E-2</v>
      </c>
      <c r="E16">
        <f>ABS(D16)</f>
        <v>5.8823529411764629E-2</v>
      </c>
    </row>
    <row r="17" spans="1:17">
      <c r="A17">
        <v>0.64</v>
      </c>
      <c r="B17">
        <v>0.68</v>
      </c>
      <c r="C17">
        <f>B17-A17</f>
        <v>4.0000000000000036E-2</v>
      </c>
      <c r="D17" s="2">
        <f>C17/A17</f>
        <v>6.2500000000000056E-2</v>
      </c>
      <c r="E17">
        <f>ABS(D17)</f>
        <v>6.2500000000000056E-2</v>
      </c>
    </row>
    <row r="18" spans="1:17">
      <c r="A18">
        <v>0.72</v>
      </c>
      <c r="B18">
        <v>0.67</v>
      </c>
      <c r="C18">
        <f>B18-A18</f>
        <v>-4.9999999999999933E-2</v>
      </c>
      <c r="D18" s="2">
        <f>C18/A18</f>
        <v>-6.944444444444435E-2</v>
      </c>
      <c r="E18">
        <f>ABS(D18)</f>
        <v>6.944444444444435E-2</v>
      </c>
    </row>
    <row r="19" spans="1:17">
      <c r="A19">
        <v>0.97</v>
      </c>
      <c r="B19">
        <v>1.04</v>
      </c>
      <c r="C19">
        <f>B19-A19</f>
        <v>7.0000000000000062E-2</v>
      </c>
      <c r="D19" s="2">
        <f>C19/A19</f>
        <v>7.216494845360831E-2</v>
      </c>
      <c r="E19">
        <f>ABS(D19)</f>
        <v>7.216494845360831E-2</v>
      </c>
    </row>
    <row r="20" spans="1:17">
      <c r="A20">
        <v>0.41</v>
      </c>
      <c r="B20">
        <v>0.37</v>
      </c>
      <c r="C20">
        <f>B20-A20</f>
        <v>-3.999999999999998E-2</v>
      </c>
      <c r="D20" s="2">
        <f>C20/A20</f>
        <v>-9.7560975609756059E-2</v>
      </c>
      <c r="E20">
        <f>ABS(D20)</f>
        <v>9.7560975609756059E-2</v>
      </c>
      <c r="Q20">
        <f>18/25</f>
        <v>0.72</v>
      </c>
    </row>
    <row r="21" spans="1:17">
      <c r="A21">
        <v>0.67</v>
      </c>
      <c r="B21">
        <v>0.74</v>
      </c>
      <c r="C21">
        <f>B21-A21</f>
        <v>6.9999999999999951E-2</v>
      </c>
      <c r="D21" s="2">
        <f>C21/A21</f>
        <v>0.10447761194029843</v>
      </c>
      <c r="E21">
        <f>ABS(D21)</f>
        <v>0.10447761194029843</v>
      </c>
    </row>
    <row r="22" spans="1:17">
      <c r="A22">
        <v>0.49</v>
      </c>
      <c r="B22">
        <v>0.55000000000000004</v>
      </c>
      <c r="C22">
        <f>B22-A22</f>
        <v>6.0000000000000053E-2</v>
      </c>
      <c r="D22" s="2">
        <f>C22/A22</f>
        <v>0.12244897959183684</v>
      </c>
      <c r="E22">
        <f>ABS(D22)</f>
        <v>0.12244897959183684</v>
      </c>
    </row>
    <row r="23" spans="1:17">
      <c r="A23">
        <v>0.72</v>
      </c>
      <c r="B23">
        <v>0.62</v>
      </c>
      <c r="C23">
        <f>B23-A23</f>
        <v>-9.9999999999999978E-2</v>
      </c>
      <c r="D23" s="2">
        <f>C23/A23</f>
        <v>-0.13888888888888887</v>
      </c>
      <c r="E23">
        <f>ABS(D23)</f>
        <v>0.13888888888888887</v>
      </c>
    </row>
    <row r="24" spans="1:17">
      <c r="A24">
        <v>0.41</v>
      </c>
      <c r="B24">
        <v>0.35</v>
      </c>
      <c r="C24">
        <f>B24-A24</f>
        <v>-0.06</v>
      </c>
      <c r="D24" s="2">
        <f>C24/A24</f>
        <v>-0.14634146341463414</v>
      </c>
      <c r="E24">
        <f>ABS(D24)</f>
        <v>0.14634146341463414</v>
      </c>
    </row>
    <row r="25" spans="1:17">
      <c r="A25">
        <v>0.78</v>
      </c>
      <c r="B25">
        <v>0.64</v>
      </c>
      <c r="C25">
        <f>B25-A25</f>
        <v>-0.14000000000000001</v>
      </c>
      <c r="D25" s="2">
        <f>C25/A25</f>
        <v>-0.17948717948717949</v>
      </c>
      <c r="E25">
        <f>ABS(D25)</f>
        <v>0.17948717948717949</v>
      </c>
    </row>
    <row r="26" spans="1:17">
      <c r="A26">
        <v>0.68</v>
      </c>
      <c r="B26">
        <v>0.81</v>
      </c>
      <c r="C26">
        <f>B26-A26</f>
        <v>0.13</v>
      </c>
      <c r="D26" s="2">
        <f>C26/A26</f>
        <v>0.19117647058823528</v>
      </c>
      <c r="E26">
        <f>ABS(D26)</f>
        <v>0.19117647058823528</v>
      </c>
      <c r="O26">
        <f>25/40</f>
        <v>0.625</v>
      </c>
    </row>
  </sheetData>
  <autoFilter ref="A1:E1" xr:uid="{06AA9BA6-CF72-4A56-95FD-FBB71FA4B7B3}">
    <sortState xmlns:xlrd2="http://schemas.microsoft.com/office/spreadsheetml/2017/richdata2" ref="A2:E26">
      <sortCondition ref="E1"/>
    </sortState>
  </autoFilter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Ning, Huan</dc:creator>
  <cp:lastModifiedBy>Ning, Huan</cp:lastModifiedBy>
  <dcterms:created xsi:type="dcterms:W3CDTF">2023-12-11T22:42:00Z</dcterms:created>
  <dcterms:modified xsi:type="dcterms:W3CDTF">2023-12-12T21:12:43Z</dcterms:modified>
</cp:coreProperties>
</file>